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AS\AppData\Roaming\iManage\Work\Recent\4039389 - PS - Udlån af medarbejder til FMI - Daniel Boye Lassen (Forsvarsministeriet Materiel- og Indkøbsstyrelsen)\"/>
    </mc:Choice>
  </mc:AlternateContent>
  <xr:revisionPtr revIDLastSave="0" documentId="13_ncr:1_{F0453111-0A09-4D2C-B242-C3B0F48F0013}" xr6:coauthVersionLast="47" xr6:coauthVersionMax="47" xr10:uidLastSave="{00000000-0000-0000-0000-000000000000}"/>
  <bookViews>
    <workbookView xWindow="-120" yWindow="-120" windowWidth="29040" windowHeight="17640" activeTab="1" xr2:uid="{065FD1B0-0408-4BB8-B222-C88095DB6BB4}"/>
  </bookViews>
  <sheets>
    <sheet name="1. Vejledning" sheetId="12" r:id="rId1"/>
    <sheet name="2. Leverandørens prise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5" l="1"/>
  <c r="G21" i="5"/>
  <c r="G27" i="5"/>
  <c r="G26" i="5"/>
  <c r="G25" i="5"/>
  <c r="G24" i="5"/>
  <c r="G23" i="5"/>
  <c r="G33" i="5"/>
  <c r="G32" i="5"/>
  <c r="G31" i="5"/>
  <c r="G12" i="5"/>
  <c r="G11" i="5"/>
  <c r="G17" i="5"/>
  <c r="G16" i="5"/>
  <c r="G15" i="5"/>
  <c r="G14" i="5"/>
  <c r="G13" i="5"/>
  <c r="G7" i="5"/>
  <c r="G8" i="5" s="1"/>
  <c r="G34" i="5" l="1"/>
  <c r="G28" i="5"/>
  <c r="G18" i="5"/>
  <c r="G35" i="5" l="1"/>
</calcChain>
</file>

<file path=xl/sharedStrings.xml><?xml version="1.0" encoding="utf-8"?>
<sst xmlns="http://schemas.openxmlformats.org/spreadsheetml/2006/main" count="61" uniqueCount="39">
  <si>
    <t xml:space="preserve">Bilag 13.a: Leverandørens priser </t>
  </si>
  <si>
    <t>Vederlag for den indledende afklaringsfase, Bilag 13, punkt 1.2</t>
  </si>
  <si>
    <t>Vederlag for afklaringsfase</t>
  </si>
  <si>
    <t>Vederlagstype</t>
  </si>
  <si>
    <t xml:space="preserve">Engangsvederlag </t>
  </si>
  <si>
    <t>Pris</t>
  </si>
  <si>
    <t>Vederlag for Leverancen, jf. Bilag 13, punkt 1.3</t>
  </si>
  <si>
    <t>Pris for Udviklingsperioden</t>
  </si>
  <si>
    <t xml:space="preserve">Pris for Implementeringsperioden </t>
  </si>
  <si>
    <t>Installationspris for elektronisk delebilsudstyr i køretøjer, pr. Puljekøretøj</t>
  </si>
  <si>
    <t>Installationspris ved genanvendelse af elektronisk delebilsudstyr ejet af Forsvaret pr. Puljekøretøj</t>
  </si>
  <si>
    <t>Afinstallationspris for elektronisk delebilsudstyr i Puljekøretøjer, pr. Puljekøretøj</t>
  </si>
  <si>
    <t>7,4 timers undervisning inkl. frokostpause</t>
  </si>
  <si>
    <t>4 timers undervisning inkl. frokostpause</t>
  </si>
  <si>
    <t>Samlet vederlag for Leverancen</t>
  </si>
  <si>
    <t>Samlet vederlag for afklaringsfasen</t>
  </si>
  <si>
    <t>Vederlag for Løbende Ydelser, jf. Bilag 13, punkt 1.4</t>
  </si>
  <si>
    <t xml:space="preserve">Pris (abonnement/licens) for Systemet (alle omkostninger relateret til brug og adgang til Systemet) </t>
  </si>
  <si>
    <t>Løbende vederlag for support (24/7 helpdesk) og vedligeholdelse</t>
  </si>
  <si>
    <t>Enhedspris for hardware pr. Puljekøretøj ved elektronisk delebiludstyr ejet af FMI</t>
  </si>
  <si>
    <t>Enhedspris for hardware pr. Puljekøretøj ved elektronisk delebiludstyr ejet af Leverandøren</t>
  </si>
  <si>
    <t>Enhedspris pr. puljekøretøj de sidste 12 måneder af kontraktens løbetid</t>
  </si>
  <si>
    <t>Evalueringsteknisk antal Puljekøretøjer</t>
  </si>
  <si>
    <t>Antal måneder</t>
  </si>
  <si>
    <t>Vederlag pr. måned</t>
  </si>
  <si>
    <t>Samlet vederlag for Løbende Ydelser</t>
  </si>
  <si>
    <t>Hypercare</t>
  </si>
  <si>
    <t>Vederlag efter medgået tid, jf. Bilag 13, punkt 1.6</t>
  </si>
  <si>
    <t>Timebaseret</t>
  </si>
  <si>
    <t>Konsulenttype</t>
  </si>
  <si>
    <t>Juniorkonsulent</t>
  </si>
  <si>
    <t>Konsulent</t>
  </si>
  <si>
    <t>Seniorkonsulent</t>
  </si>
  <si>
    <t>Samlet vederlag efter medgået tid</t>
  </si>
  <si>
    <t>Samlet evalueringsteknisk pris</t>
  </si>
  <si>
    <t>OPTION: Enhedspris pr. Puljekøretøj for alternativt oplåsningssystem – enhed leveret af Leverandøren, jf. Bilag 2 ID nr. 72</t>
  </si>
  <si>
    <t>Evalueringsteknisk antal timer</t>
  </si>
  <si>
    <t xml:space="preserve">Valuta </t>
  </si>
  <si>
    <r>
      <rPr>
        <b/>
        <sz val="14"/>
        <color theme="1"/>
        <rFont val="Calibri"/>
        <family val="2"/>
        <scheme val="minor"/>
      </rPr>
      <t xml:space="preserve">Bilag 13.a: Leverandørens priser </t>
    </r>
    <r>
      <rPr>
        <sz val="11"/>
        <color theme="1"/>
        <rFont val="Calibri"/>
        <family val="2"/>
        <scheme val="minor"/>
      </rPr>
      <t xml:space="preserve">
Nærværende bilag udgør Leverandørens tilbudsliste og dermed prislisten gældende i forhold til de ydelser, der skal leveres i henhold til Kontrakten.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</si>
</sst>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Verdana"/>
      <family val="2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mediumGray">
        <bgColor theme="4" tint="0.8999603259376811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</cellStyleXfs>
  <cellXfs count="14">
    <xf numFmtId="0" fontId="0" fillId="0" borderId="0" xfId="0"/>
    <xf numFmtId="2" fontId="0" fillId="0" borderId="0" xfId="0" applyNumberFormat="1"/>
    <xf numFmtId="2" fontId="0" fillId="4" borderId="2" xfId="0" applyNumberFormat="1" applyFill="1" applyBorder="1" applyAlignment="1">
      <alignment wrapText="1"/>
    </xf>
    <xf numFmtId="2" fontId="0" fillId="2" borderId="1" xfId="0" applyNumberFormat="1" applyFill="1" applyBorder="1" applyAlignment="1">
      <alignment wrapText="1"/>
    </xf>
    <xf numFmtId="2" fontId="0" fillId="5" borderId="0" xfId="0" applyNumberFormat="1" applyFill="1"/>
    <xf numFmtId="164" fontId="0" fillId="3" borderId="1" xfId="1" applyFont="1" applyFill="1" applyBorder="1"/>
    <xf numFmtId="2" fontId="4" fillId="5" borderId="0" xfId="0" applyNumberFormat="1" applyFont="1" applyFill="1"/>
    <xf numFmtId="2" fontId="1" fillId="0" borderId="0" xfId="0" applyNumberFormat="1" applyFont="1"/>
    <xf numFmtId="2" fontId="5" fillId="6" borderId="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2" fontId="7" fillId="6" borderId="2" xfId="0" applyNumberFormat="1" applyFont="1" applyFill="1" applyBorder="1" applyAlignment="1">
      <alignment wrapText="1"/>
    </xf>
    <xf numFmtId="2" fontId="0" fillId="2" borderId="2" xfId="0" applyNumberFormat="1" applyFill="1" applyBorder="1" applyAlignment="1">
      <alignment wrapText="1"/>
    </xf>
    <xf numFmtId="2" fontId="8" fillId="6" borderId="2" xfId="0" applyNumberFormat="1" applyFont="1" applyFill="1" applyBorder="1" applyAlignment="1">
      <alignment wrapText="1"/>
    </xf>
    <xf numFmtId="2" fontId="0" fillId="7" borderId="2" xfId="0" applyNumberFormat="1" applyFill="1" applyBorder="1" applyAlignment="1">
      <alignment wrapText="1"/>
    </xf>
  </cellXfs>
  <cellStyles count="4">
    <cellStyle name="Hyperlink" xfId="2" xr:uid="{64605178-77B2-4268-8915-E87E0E3F2DC4}"/>
    <cellStyle name="Komma" xfId="1" builtinId="3"/>
    <cellStyle name="Normal" xfId="0" builtinId="0"/>
    <cellStyle name="Normal 2" xfId="3" xr:uid="{1130FE22-5476-40E1-8100-53BEACB7EA5D}"/>
  </cellStyles>
  <dxfs count="0"/>
  <tableStyles count="0" defaultTableStyle="TableStyleMedium2" defaultPivotStyle="PivotStyleLight16"/>
  <colors>
    <mruColors>
      <color rgb="FFC2E7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2</xdr:col>
      <xdr:colOff>2238375</xdr:colOff>
      <xdr:row>19</xdr:row>
      <xdr:rowOff>28575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46D044AF-BAB6-A67F-C80F-B45E39A76F91}"/>
            </a:ext>
          </a:extLst>
        </xdr:cNvPr>
        <xdr:cNvSpPr txBox="1"/>
      </xdr:nvSpPr>
      <xdr:spPr>
        <a:xfrm>
          <a:off x="9525" y="6162675"/>
          <a:ext cx="9572625" cy="6924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/>
            <a:t>Vejledning til udfyldelse af Bilag 13.a – Leverandørens priser</a:t>
          </a:r>
        </a:p>
        <a:p>
          <a:endParaRPr lang="da-DK" sz="1100"/>
        </a:p>
        <a:p>
          <a:r>
            <a:rPr lang="da-DK" sz="1100" b="1"/>
            <a:t>Valuta</a:t>
          </a:r>
        </a:p>
        <a:p>
          <a:r>
            <a:rPr lang="da-DK" sz="1100"/>
            <a:t>Angiv den valuta, alle priser er afgivet i, i det hertil afsatte gule felt øverst i arket. Alle priser skal angives ekskl. moms.</a:t>
          </a:r>
        </a:p>
        <a:p>
          <a:endParaRPr lang="da-DK" sz="1100"/>
        </a:p>
        <a:p>
          <a:r>
            <a:rPr lang="da-DK" sz="1100" b="1"/>
            <a:t>Farvekoder</a:t>
          </a:r>
        </a:p>
        <a:p>
          <a:r>
            <a:rPr lang="da-DK" sz="1100"/>
            <a:t>Gule felter: Udfyldes af tilbudsgiver med enhedspriser og valuta.</a:t>
          </a:r>
        </a:p>
        <a:p>
          <a:r>
            <a:rPr lang="da-DK" sz="1100"/>
            <a:t>Øvrige felter: Låste felter med formler og faste data. Må ikke ændres.</a:t>
          </a:r>
        </a:p>
        <a:p>
          <a:endParaRPr lang="da-DK" sz="1100"/>
        </a:p>
        <a:p>
          <a:r>
            <a:rPr lang="da-DK" sz="1100" b="1"/>
            <a:t>Sådan udfyldes prisarket</a:t>
          </a:r>
        </a:p>
        <a:p>
          <a:r>
            <a:rPr lang="da-DK" sz="1100"/>
            <a:t>Angiv en enhedspris i hvert gult felt for de ydelser, der er relevante for tilbuddet. Prisarket er opdelt i følgende afsnit:</a:t>
          </a:r>
        </a:p>
        <a:p>
          <a:endParaRPr lang="da-DK" sz="1100"/>
        </a:p>
        <a:p>
          <a:r>
            <a:rPr lang="da-DK" sz="1100" u="sng"/>
            <a:t>Afklaringsfase</a:t>
          </a:r>
          <a:r>
            <a:rPr lang="da-DK" sz="1100"/>
            <a:t> – samlet engangsvederlag for den indledende afklaringsfase.</a:t>
          </a:r>
        </a:p>
        <a:p>
          <a:r>
            <a:rPr lang="da-DK" sz="1100" u="sng"/>
            <a:t>Leverancen</a:t>
          </a:r>
          <a:r>
            <a:rPr lang="da-DK" sz="1100"/>
            <a:t> – engangsvederlag for udviklingsperioden, implementeringsperioden, installation/afinstallation af elektronisk delebilsudstyr pr. Puljekøretøj samt undervisningshold.</a:t>
          </a:r>
        </a:p>
        <a:p>
          <a:r>
            <a:rPr lang="da-DK" sz="1100" u="sng"/>
            <a:t>Løbende Ydelser</a:t>
          </a:r>
          <a:r>
            <a:rPr lang="da-DK" sz="1100"/>
            <a:t> – månedlige priser for licens/abonnement til Systemet, support og vedligeholdelse, hardware pr. Puljekøretøj samt pris for de sidste 12 måneder af kontraktperioden. Optionsprisen for alternativt oplåsningssystem (enhed leveret af Leverandøren) skal ligeledes udfyldes.</a:t>
          </a:r>
        </a:p>
        <a:p>
          <a:r>
            <a:rPr lang="da-DK" sz="1100" u="sng"/>
            <a:t>Hypercare</a:t>
          </a:r>
          <a:r>
            <a:rPr lang="da-DK" sz="1100"/>
            <a:t> – engangsvederlag for hypercareperioden.</a:t>
          </a:r>
        </a:p>
        <a:p>
          <a:r>
            <a:rPr lang="da-DK" sz="1100" u="sng"/>
            <a:t>Medgået tid</a:t>
          </a:r>
          <a:r>
            <a:rPr lang="da-DK" sz="1100"/>
            <a:t> – timepriser for juniorkonsulent, konsulent og seniorkonsulent.</a:t>
          </a:r>
        </a:p>
        <a:p>
          <a:endParaRPr lang="da-DK" sz="1100"/>
        </a:p>
        <a:p>
          <a:r>
            <a:rPr lang="da-DK" sz="1100" b="1"/>
            <a:t>Evalueringstekniske mængder</a:t>
          </a:r>
        </a:p>
        <a:p>
          <a:r>
            <a:rPr lang="da-DK" sz="1100"/>
            <a:t>De angivne antal Puljekøretøjer og timer i arket er fastsat af ordregiver og må ikke ændres. De anvendes udelukkende til beregning af den samlede evalueringspris og udgør ikke en garanti for det faktiske aftagevolumen.</a:t>
          </a:r>
        </a:p>
        <a:p>
          <a:endParaRPr lang="da-DK" sz="1100"/>
        </a:p>
        <a:p>
          <a:r>
            <a:rPr lang="da-DK" sz="1100" b="1"/>
            <a:t>Samlede evalueringspriser</a:t>
          </a:r>
        </a:p>
        <a:p>
          <a:r>
            <a:rPr lang="da-DK" sz="1100"/>
            <a:t>Felterne med de samlede evalueringspriser beregnes automatisk og indgår i tilbudsevalueringen af "Pris" som den samlede evalueringstekniske pris.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091A-5D0C-4AFA-B52C-5A032FB6DD50}">
  <dimension ref="A1:A19"/>
  <sheetViews>
    <sheetView showGridLines="0" zoomScaleNormal="100" workbookViewId="0">
      <selection activeCell="L7" sqref="L7"/>
    </sheetView>
  </sheetViews>
  <sheetFormatPr defaultRowHeight="15" x14ac:dyDescent="0.25"/>
  <cols>
    <col min="1" max="1" width="101" customWidth="1"/>
    <col min="3" max="3" width="41.28515625" customWidth="1"/>
    <col min="14" max="14" width="19.42578125" customWidth="1"/>
  </cols>
  <sheetData>
    <row r="1" spans="1:1" ht="63.75" x14ac:dyDescent="0.25">
      <c r="A1" s="9" t="s">
        <v>38</v>
      </c>
    </row>
    <row r="19" ht="105.75" customHeight="1" x14ac:dyDescent="0.25"/>
  </sheetData>
  <pageMargins left="0.7" right="0.7" top="0.75" bottom="0.75" header="0.3" footer="0.3"/>
  <pageSetup paperSize="9" orientation="portrait" r:id="rId1"/>
  <headerFooter>
    <oddFooter>&amp;L_x000D_&amp;1#&amp;"Times New Roman"&amp;8&amp;K000000 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2906-3114-43B8-9E49-57AEBA03039A}">
  <dimension ref="A1:N35"/>
  <sheetViews>
    <sheetView showGridLines="0" tabSelected="1" topLeftCell="B1" zoomScale="89" zoomScaleNormal="55" workbookViewId="0">
      <selection activeCell="D18" sqref="D18"/>
    </sheetView>
  </sheetViews>
  <sheetFormatPr defaultRowHeight="15" x14ac:dyDescent="0.25"/>
  <cols>
    <col min="1" max="1" width="4.28515625" customWidth="1"/>
    <col min="2" max="2" width="87.28515625" customWidth="1"/>
    <col min="3" max="5" width="47.85546875" customWidth="1"/>
    <col min="6" max="6" width="37" customWidth="1"/>
    <col min="7" max="7" width="40.28515625" customWidth="1"/>
    <col min="8" max="8" width="28.85546875" customWidth="1"/>
    <col min="9" max="9" width="39.42578125" customWidth="1"/>
    <col min="10" max="10" width="32.5703125" customWidth="1"/>
    <col min="11" max="12" width="24.28515625" customWidth="1"/>
    <col min="13" max="13" width="24.85546875" customWidth="1"/>
    <col min="14" max="14" width="25.140625" customWidth="1"/>
    <col min="15" max="15" width="41.140625" customWidth="1"/>
    <col min="17" max="17" width="38" customWidth="1"/>
    <col min="18" max="19" width="20.28515625" customWidth="1"/>
  </cols>
  <sheetData>
    <row r="1" spans="1:14" s="1" customFormat="1" ht="26.25" x14ac:dyDescent="0.4">
      <c r="A1" s="4"/>
      <c r="B1" s="6" t="s">
        <v>0</v>
      </c>
      <c r="C1" s="6"/>
      <c r="D1" s="6"/>
      <c r="E1" s="6"/>
      <c r="F1" s="7"/>
      <c r="G1" s="7"/>
      <c r="H1" s="7"/>
      <c r="I1" s="4"/>
      <c r="J1" s="4"/>
      <c r="K1" s="4"/>
      <c r="L1" s="4"/>
      <c r="M1" s="4"/>
      <c r="N1" s="4"/>
    </row>
    <row r="2" spans="1:14" s="1" customFormat="1" ht="26.25" x14ac:dyDescent="0.4">
      <c r="A2" s="4"/>
      <c r="B2" s="6"/>
      <c r="C2" s="6"/>
      <c r="D2" s="6"/>
      <c r="E2" s="6"/>
      <c r="F2" s="7"/>
      <c r="G2" s="7"/>
      <c r="H2" s="7"/>
      <c r="I2" s="4"/>
      <c r="J2" s="4"/>
      <c r="K2" s="4"/>
      <c r="L2" s="4"/>
      <c r="M2" s="4"/>
      <c r="N2" s="4"/>
    </row>
    <row r="3" spans="1:14" s="1" customFormat="1" ht="26.25" x14ac:dyDescent="0.4">
      <c r="A3" s="4"/>
      <c r="B3" s="6"/>
      <c r="C3" s="8" t="s">
        <v>37</v>
      </c>
      <c r="D3" s="2"/>
      <c r="E3" s="6"/>
      <c r="F3" s="7"/>
      <c r="G3" s="7"/>
      <c r="H3" s="7"/>
      <c r="I3" s="4"/>
      <c r="J3" s="4"/>
      <c r="K3" s="4"/>
      <c r="L3" s="4"/>
      <c r="M3" s="4"/>
      <c r="N3" s="4"/>
    </row>
    <row r="5" spans="1:14" ht="30" customHeight="1" x14ac:dyDescent="0.3">
      <c r="B5" s="10" t="s">
        <v>1</v>
      </c>
      <c r="C5" s="8"/>
      <c r="D5" s="8"/>
      <c r="E5" s="8"/>
      <c r="F5" s="8"/>
      <c r="G5" s="8"/>
    </row>
    <row r="6" spans="1:14" ht="26.25" customHeight="1" x14ac:dyDescent="0.3">
      <c r="B6" s="10"/>
      <c r="C6" s="10" t="s">
        <v>3</v>
      </c>
      <c r="D6" s="10"/>
      <c r="E6" s="10"/>
      <c r="F6" s="10" t="s">
        <v>5</v>
      </c>
      <c r="G6" s="10"/>
    </row>
    <row r="7" spans="1:14" x14ac:dyDescent="0.25">
      <c r="B7" s="3" t="s">
        <v>2</v>
      </c>
      <c r="C7" s="3" t="s">
        <v>4</v>
      </c>
      <c r="D7" s="11"/>
      <c r="E7" s="13"/>
      <c r="F7" s="2"/>
      <c r="G7" s="5">
        <f>(F7)</f>
        <v>0</v>
      </c>
    </row>
    <row r="8" spans="1:14" ht="45.75" customHeight="1" x14ac:dyDescent="0.3">
      <c r="B8" s="8"/>
      <c r="C8" s="8"/>
      <c r="D8" s="8"/>
      <c r="E8" s="8"/>
      <c r="F8" s="10" t="s">
        <v>15</v>
      </c>
      <c r="G8" s="5">
        <f>(G7)</f>
        <v>0</v>
      </c>
    </row>
    <row r="9" spans="1:14" ht="45.75" customHeight="1" x14ac:dyDescent="0.3">
      <c r="B9" s="10" t="s">
        <v>6</v>
      </c>
      <c r="C9" s="8"/>
      <c r="D9" s="8"/>
      <c r="E9" s="8"/>
      <c r="F9" s="12"/>
      <c r="G9" s="8"/>
    </row>
    <row r="10" spans="1:14" ht="18.75" customHeight="1" x14ac:dyDescent="0.3">
      <c r="B10" s="10"/>
      <c r="C10" s="10" t="s">
        <v>3</v>
      </c>
      <c r="D10" s="10" t="s">
        <v>22</v>
      </c>
      <c r="E10" s="10"/>
      <c r="F10" s="10" t="s">
        <v>5</v>
      </c>
      <c r="G10" s="10"/>
    </row>
    <row r="11" spans="1:14" x14ac:dyDescent="0.25">
      <c r="B11" s="11" t="s">
        <v>7</v>
      </c>
      <c r="C11" s="3" t="s">
        <v>4</v>
      </c>
      <c r="D11" s="13"/>
      <c r="E11" s="13"/>
      <c r="F11" s="2"/>
      <c r="G11" s="5">
        <f>(F11)</f>
        <v>0</v>
      </c>
    </row>
    <row r="12" spans="1:14" x14ac:dyDescent="0.25">
      <c r="B12" s="11" t="s">
        <v>8</v>
      </c>
      <c r="C12" s="3" t="s">
        <v>4</v>
      </c>
      <c r="D12" s="13"/>
      <c r="E12" s="13"/>
      <c r="F12" s="2"/>
      <c r="G12" s="5">
        <f>(F12)</f>
        <v>0</v>
      </c>
    </row>
    <row r="13" spans="1:14" x14ac:dyDescent="0.25">
      <c r="B13" s="11" t="s">
        <v>9</v>
      </c>
      <c r="C13" s="11" t="s">
        <v>4</v>
      </c>
      <c r="D13" s="11">
        <v>3500</v>
      </c>
      <c r="E13" s="13"/>
      <c r="F13" s="2"/>
      <c r="G13" s="5">
        <f>(D13*F13)</f>
        <v>0</v>
      </c>
    </row>
    <row r="14" spans="1:14" ht="30" x14ac:dyDescent="0.25">
      <c r="B14" s="11" t="s">
        <v>10</v>
      </c>
      <c r="C14" s="3" t="s">
        <v>4</v>
      </c>
      <c r="D14" s="11">
        <v>2800</v>
      </c>
      <c r="E14" s="13"/>
      <c r="F14" s="2"/>
      <c r="G14" s="5">
        <f t="shared" ref="G14:G17" si="0">(D14*F14)</f>
        <v>0</v>
      </c>
    </row>
    <row r="15" spans="1:14" x14ac:dyDescent="0.25">
      <c r="B15" s="11" t="s">
        <v>11</v>
      </c>
      <c r="C15" s="3" t="s">
        <v>4</v>
      </c>
      <c r="D15" s="11">
        <v>2800</v>
      </c>
      <c r="E15" s="13"/>
      <c r="F15" s="2"/>
      <c r="G15" s="5">
        <f t="shared" si="0"/>
        <v>0</v>
      </c>
    </row>
    <row r="16" spans="1:14" x14ac:dyDescent="0.25">
      <c r="B16" s="11" t="s">
        <v>12</v>
      </c>
      <c r="C16" s="3" t="s">
        <v>4</v>
      </c>
      <c r="D16" s="11">
        <v>25</v>
      </c>
      <c r="E16" s="13"/>
      <c r="F16" s="2"/>
      <c r="G16" s="5">
        <f t="shared" si="0"/>
        <v>0</v>
      </c>
    </row>
    <row r="17" spans="2:7" x14ac:dyDescent="0.25">
      <c r="B17" s="11" t="s">
        <v>13</v>
      </c>
      <c r="C17" s="3" t="s">
        <v>4</v>
      </c>
      <c r="D17" s="11">
        <v>15</v>
      </c>
      <c r="E17" s="13"/>
      <c r="F17" s="2"/>
      <c r="G17" s="5">
        <f t="shared" si="0"/>
        <v>0</v>
      </c>
    </row>
    <row r="18" spans="2:7" ht="39" x14ac:dyDescent="0.3">
      <c r="B18" s="10"/>
      <c r="C18" s="10"/>
      <c r="D18" s="10"/>
      <c r="E18" s="10"/>
      <c r="F18" s="10" t="s">
        <v>14</v>
      </c>
      <c r="G18" s="5">
        <f>(G11+G12+G13+G14+G15+G16+G17)</f>
        <v>0</v>
      </c>
    </row>
    <row r="19" spans="2:7" ht="46.5" customHeight="1" x14ac:dyDescent="0.3">
      <c r="B19" s="10" t="s">
        <v>16</v>
      </c>
      <c r="C19" s="8"/>
      <c r="D19" s="8"/>
      <c r="E19" s="8"/>
      <c r="F19" s="12"/>
      <c r="G19" s="8"/>
    </row>
    <row r="20" spans="2:7" ht="39" x14ac:dyDescent="0.3">
      <c r="B20" s="10"/>
      <c r="C20" s="10" t="s">
        <v>3</v>
      </c>
      <c r="D20" s="10" t="s">
        <v>22</v>
      </c>
      <c r="E20" s="10" t="s">
        <v>23</v>
      </c>
      <c r="F20" s="10" t="s">
        <v>5</v>
      </c>
      <c r="G20" s="10"/>
    </row>
    <row r="21" spans="2:7" ht="30" x14ac:dyDescent="0.25">
      <c r="B21" s="11" t="s">
        <v>17</v>
      </c>
      <c r="C21" s="3" t="s">
        <v>24</v>
      </c>
      <c r="D21" s="13"/>
      <c r="E21" s="11">
        <v>120</v>
      </c>
      <c r="F21" s="2"/>
      <c r="G21" s="5">
        <f>(E21*F21)</f>
        <v>0</v>
      </c>
    </row>
    <row r="22" spans="2:7" x14ac:dyDescent="0.25">
      <c r="B22" s="11" t="s">
        <v>18</v>
      </c>
      <c r="C22" s="3" t="s">
        <v>24</v>
      </c>
      <c r="D22" s="13"/>
      <c r="E22" s="11">
        <v>120</v>
      </c>
      <c r="F22" s="2"/>
      <c r="G22" s="5">
        <f>(E22*F22)</f>
        <v>0</v>
      </c>
    </row>
    <row r="23" spans="2:7" x14ac:dyDescent="0.25">
      <c r="B23" s="11" t="s">
        <v>19</v>
      </c>
      <c r="C23" s="3" t="s">
        <v>24</v>
      </c>
      <c r="D23" s="11">
        <v>2800</v>
      </c>
      <c r="E23" s="11">
        <v>60</v>
      </c>
      <c r="F23" s="2"/>
      <c r="G23" s="5">
        <f>(D23*E23*F23)</f>
        <v>0</v>
      </c>
    </row>
    <row r="24" spans="2:7" x14ac:dyDescent="0.25">
      <c r="B24" s="11" t="s">
        <v>20</v>
      </c>
      <c r="C24" s="3" t="s">
        <v>24</v>
      </c>
      <c r="D24" s="11">
        <v>3150</v>
      </c>
      <c r="E24" s="11">
        <v>84</v>
      </c>
      <c r="F24" s="2"/>
      <c r="G24" s="5">
        <f t="shared" ref="G24:G26" si="1">(D24*E24*F24)</f>
        <v>0</v>
      </c>
    </row>
    <row r="25" spans="2:7" x14ac:dyDescent="0.25">
      <c r="B25" s="11" t="s">
        <v>21</v>
      </c>
      <c r="C25" s="3" t="s">
        <v>24</v>
      </c>
      <c r="D25" s="11">
        <v>350</v>
      </c>
      <c r="E25" s="11">
        <v>6</v>
      </c>
      <c r="F25" s="2"/>
      <c r="G25" s="5">
        <f t="shared" si="1"/>
        <v>0</v>
      </c>
    </row>
    <row r="26" spans="2:7" ht="30" x14ac:dyDescent="0.25">
      <c r="B26" s="11" t="s">
        <v>35</v>
      </c>
      <c r="C26" s="3" t="s">
        <v>24</v>
      </c>
      <c r="D26" s="11">
        <v>3200</v>
      </c>
      <c r="E26" s="11">
        <v>120</v>
      </c>
      <c r="F26" s="2"/>
      <c r="G26" s="5">
        <f t="shared" si="1"/>
        <v>0</v>
      </c>
    </row>
    <row r="27" spans="2:7" x14ac:dyDescent="0.25">
      <c r="B27" s="11" t="s">
        <v>26</v>
      </c>
      <c r="C27" s="11" t="s">
        <v>4</v>
      </c>
      <c r="D27" s="13"/>
      <c r="E27" s="13"/>
      <c r="F27" s="2"/>
      <c r="G27" s="5">
        <f>(F27)</f>
        <v>0</v>
      </c>
    </row>
    <row r="28" spans="2:7" ht="39" x14ac:dyDescent="0.3">
      <c r="B28" s="10"/>
      <c r="C28" s="10"/>
      <c r="D28" s="10"/>
      <c r="E28" s="10"/>
      <c r="F28" s="10" t="s">
        <v>25</v>
      </c>
      <c r="G28" s="5">
        <f>(G21+G22+G23+G24+G25+G26+G27)</f>
        <v>0</v>
      </c>
    </row>
    <row r="29" spans="2:7" ht="46.5" customHeight="1" x14ac:dyDescent="0.3">
      <c r="B29" s="10" t="s">
        <v>27</v>
      </c>
      <c r="C29" s="8"/>
      <c r="D29" s="8"/>
      <c r="E29" s="8"/>
      <c r="F29" s="12"/>
      <c r="G29" s="8"/>
    </row>
    <row r="30" spans="2:7" ht="19.5" x14ac:dyDescent="0.3">
      <c r="B30" s="10" t="s">
        <v>29</v>
      </c>
      <c r="C30" s="10" t="s">
        <v>3</v>
      </c>
      <c r="D30" s="10" t="s">
        <v>36</v>
      </c>
      <c r="E30" s="10"/>
      <c r="F30" s="10" t="s">
        <v>5</v>
      </c>
      <c r="G30" s="10"/>
    </row>
    <row r="31" spans="2:7" x14ac:dyDescent="0.25">
      <c r="B31" s="11" t="s">
        <v>30</v>
      </c>
      <c r="C31" s="3" t="s">
        <v>28</v>
      </c>
      <c r="D31" s="11">
        <v>250</v>
      </c>
      <c r="E31" s="13"/>
      <c r="F31" s="2"/>
      <c r="G31" s="5">
        <f>(D31*F31)</f>
        <v>0</v>
      </c>
    </row>
    <row r="32" spans="2:7" x14ac:dyDescent="0.25">
      <c r="B32" s="11" t="s">
        <v>31</v>
      </c>
      <c r="C32" s="3" t="s">
        <v>28</v>
      </c>
      <c r="D32" s="11">
        <v>750</v>
      </c>
      <c r="E32" s="13"/>
      <c r="F32" s="2"/>
      <c r="G32" s="5">
        <f t="shared" ref="G32:G33" si="2">(D32*F32)</f>
        <v>0</v>
      </c>
    </row>
    <row r="33" spans="2:7" x14ac:dyDescent="0.25">
      <c r="B33" s="11" t="s">
        <v>32</v>
      </c>
      <c r="C33" s="3" t="s">
        <v>28</v>
      </c>
      <c r="D33" s="11">
        <v>500</v>
      </c>
      <c r="E33" s="13"/>
      <c r="F33" s="2"/>
      <c r="G33" s="5">
        <f t="shared" si="2"/>
        <v>0</v>
      </c>
    </row>
    <row r="34" spans="2:7" ht="39" x14ac:dyDescent="0.3">
      <c r="B34" s="10"/>
      <c r="C34" s="10"/>
      <c r="D34" s="10"/>
      <c r="E34" s="10"/>
      <c r="F34" s="10" t="s">
        <v>33</v>
      </c>
      <c r="G34" s="5">
        <f>(G31+G32+G33)</f>
        <v>0</v>
      </c>
    </row>
    <row r="35" spans="2:7" ht="19.5" x14ac:dyDescent="0.3">
      <c r="B35" s="10" t="s">
        <v>34</v>
      </c>
      <c r="C35" s="10"/>
      <c r="D35" s="10"/>
      <c r="E35" s="10"/>
      <c r="F35" s="10"/>
      <c r="G35" s="5">
        <f>(G8+G18+G28+G34)</f>
        <v>0</v>
      </c>
    </row>
  </sheetData>
  <protectedRanges>
    <protectedRange sqref="B7:F7 B31:F33 B11:F17 B21:F27" name="Område4"/>
  </protectedRanges>
  <pageMargins left="0.7" right="0.7" top="0.75" bottom="0.75" header="0.3" footer="0.3"/>
  <pageSetup paperSize="9" orientation="portrait" r:id="rId1"/>
  <headerFooter>
    <oddFooter>&amp;L_x000D_&amp;1#&amp;"Times New Roman"&amp;8&amp;K000000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D169CB26D4459A128EE57C0B1AFF" ma:contentTypeVersion="3" ma:contentTypeDescription="Create a new document." ma:contentTypeScope="" ma:versionID="f07b4f75a09f3b345d16d5cb700b8f03">
  <xsd:schema xmlns:xsd="http://www.w3.org/2001/XMLSchema" xmlns:xs="http://www.w3.org/2001/XMLSchema" xmlns:p="http://schemas.microsoft.com/office/2006/metadata/properties" xmlns:ns2="d767449d-f75d-4e77-ad95-141864eef2d4" targetNamespace="http://schemas.microsoft.com/office/2006/metadata/properties" ma:root="true" ma:fieldsID="850bbdfea371dbf46f554181e85d9a49" ns2:_="">
    <xsd:import namespace="d767449d-f75d-4e77-ad95-141864eef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7449d-f75d-4e77-ad95-141864eef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7BF5DE-3AC8-4957-AC23-731784720CE2}">
  <ds:schemaRefs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d767449d-f75d-4e77-ad95-141864eef2d4"/>
  </ds:schemaRefs>
</ds:datastoreItem>
</file>

<file path=customXml/itemProps2.xml><?xml version="1.0" encoding="utf-8"?>
<ds:datastoreItem xmlns:ds="http://schemas.openxmlformats.org/officeDocument/2006/customXml" ds:itemID="{BDC2CC15-CFBB-49A0-B60F-CF2F2045E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67449d-f75d-4e77-ad95-141864eef2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D39CD-A9F0-4319-ABA7-1D415325133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8450391-6d50-49e0-a466-bfda2ff2a5e1}" enabled="1" method="Privileged" siteId="{65f51067-7d65-4aa9-b996-4cc43a0d71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1. Vejledning</vt:lpstr>
      <vt:lpstr>2. Leverandørens priser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Berit Bünger Torp</dc:creator>
  <cp:keywords/>
  <dc:description/>
  <cp:lastModifiedBy>Poul Schmith</cp:lastModifiedBy>
  <cp:revision/>
  <dcterms:created xsi:type="dcterms:W3CDTF">2021-01-28T09:43:58Z</dcterms:created>
  <dcterms:modified xsi:type="dcterms:W3CDTF">2026-05-25T18:48:02Z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0x010100C982D169CB26D4459A128EE57C0B1AFF</vt:lpwstr>
  </property>
  <property fmtid="{D5CDD505-2E9C-101B-9397-08002B2CF9AE}" pid="3" name="SD_TIM_Ran">
    <vt:lpwstr>True</vt:lpwstr>
  </property>
</Properties>
</file>